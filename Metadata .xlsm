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 Jose Rivera\OneDrive - James Cook University\Australia renamed\Sanamere\PhD Final\"/>
    </mc:Choice>
  </mc:AlternateContent>
  <xr:revisionPtr revIDLastSave="0" documentId="13_ncr:1_{F506CD79-7A4A-4C26-9C00-91D73EB2A69B}" xr6:coauthVersionLast="47" xr6:coauthVersionMax="47" xr10:uidLastSave="{00000000-0000-0000-0000-000000000000}"/>
  <bookViews>
    <workbookView xWindow="-28920" yWindow="-210" windowWidth="29040" windowHeight="15840" xr2:uid="{BA7B7ADD-7A9E-4251-84F5-0B9C2D740961}"/>
  </bookViews>
  <sheets>
    <sheet name="Metadata" sheetId="1" r:id="rId1"/>
    <sheet name="Chronology" sheetId="4" r:id="rId2"/>
    <sheet name="Data" sheetId="5" r:id="rId3"/>
    <sheet name="ProxyAndReconstructionInfo" sheetId="2" r:id="rId4"/>
    <sheet name="NOAASciKeywords" sheetId="3" r:id="rId5"/>
  </sheets>
  <definedNames>
    <definedName name="borehole">ProxyAndReconstructionInfo!$D$2:$D$3</definedName>
    <definedName name="climate_forcing">ProxyAndReconstructionInfo!$E$2:$E$5</definedName>
    <definedName name="Climate_reconstructions">ProxyAndReconstructionInfo!$Q$2:$Q$20</definedName>
    <definedName name="corals_and_sclerosponges">ProxyAndReconstructionInfo!$F$2:$F$7</definedName>
    <definedName name="fauna">ProxyAndReconstructionInfo!$G$2:$G$4</definedName>
    <definedName name="fire_history">ProxyAndReconstructionInfo!$H$2:$H$4</definedName>
    <definedName name="historical">ProxyAndReconstructionInfo!$I$2:$I$6</definedName>
    <definedName name="ice_cores">ProxyAndReconstructionInfo!$J$2:$J$15</definedName>
    <definedName name="insect">ProxyAndReconstructionInfo!$K$2:$K$3</definedName>
    <definedName name="instrumental">ProxyAndReconstructionInfo!$T$2:$T$5</definedName>
    <definedName name="lake_levels">ProxyAndReconstructionInfo!$V$2</definedName>
    <definedName name="loess">ProxyAndReconstructionInfo!$U$2</definedName>
    <definedName name="paleoceanography">ProxyAndReconstructionInfo!$M$2:$M$15</definedName>
    <definedName name="Paleoclimatic_Modeling">ProxyAndReconstructionInfo!$L$2:$L$6</definedName>
    <definedName name="paleolimnology">ProxyAndReconstructionInfo!$N$2:$N$12</definedName>
    <definedName name="plant_macrofossils">ProxyAndReconstructionInfo!$O$2:$O$4</definedName>
    <definedName name="pollen">ProxyAndReconstructionInfo!$P$2:$P$5</definedName>
    <definedName name="ProxyList2">ProxyAndReconstructionInfo!$A$3:$A$23</definedName>
    <definedName name="speleothems">ProxyAndReconstructionInfo!$R$2:$R$8</definedName>
    <definedName name="tree_ring">ProxyAndReconstructionInfo!$S$2:$S$6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2" l="1"/>
  <c r="E25" i="2"/>
  <c r="L22" i="2"/>
  <c r="I22" i="2"/>
</calcChain>
</file>

<file path=xl/sharedStrings.xml><?xml version="1.0" encoding="utf-8"?>
<sst xmlns="http://schemas.openxmlformats.org/spreadsheetml/2006/main" count="547" uniqueCount="338">
  <si>
    <r>
      <t xml:space="preserve">Version 4.0; Submit Template as email attachment to </t>
    </r>
    <r>
      <rPr>
        <b/>
        <sz val="11"/>
        <color theme="1"/>
        <rFont val="Calibri"/>
        <family val="2"/>
        <scheme val="minor"/>
      </rPr>
      <t>paleo@noaa.gov</t>
    </r>
    <r>
      <rPr>
        <sz val="11"/>
        <color theme="1"/>
        <rFont val="Calibri"/>
        <family val="2"/>
        <scheme val="minor"/>
      </rPr>
      <t>. See the Example-Metadata and Example-Data Tabs to see some examples of how to enter information</t>
    </r>
  </si>
  <si>
    <t>Study Title (where, what, when (time period covered))</t>
  </si>
  <si>
    <t>Original Source_URL (if applicable)</t>
  </si>
  <si>
    <t>Description of "Original_Source_URL" link, if applicable</t>
  </si>
  <si>
    <t>Investigators (Lastname, first; lastname2, first2)</t>
  </si>
  <si>
    <t>Data_Type</t>
  </si>
  <si>
    <t>Select one</t>
  </si>
  <si>
    <t>Description and Notes</t>
  </si>
  <si>
    <t>Optional Scientific keywords separated by commas</t>
  </si>
  <si>
    <t>Publication Section</t>
  </si>
  <si>
    <t xml:space="preserve"> Any additional Publications should be entered in Columns C,D,etc. </t>
  </si>
  <si>
    <t>Authors (Exactly as written in the publication citation)</t>
  </si>
  <si>
    <t>Publication title</t>
  </si>
  <si>
    <t>Journal</t>
  </si>
  <si>
    <t>Year</t>
  </si>
  <si>
    <t>Volume</t>
  </si>
  <si>
    <t>Edition</t>
  </si>
  <si>
    <t>Issue</t>
  </si>
  <si>
    <t>Pages</t>
  </si>
  <si>
    <t>Report Number</t>
  </si>
  <si>
    <t>DOI</t>
  </si>
  <si>
    <t>Online_Resource</t>
  </si>
  <si>
    <t>Abstract</t>
  </si>
  <si>
    <t>Alternate citation in paragraph format (For books, theses, etc. that don't fit well in above fields)</t>
  </si>
  <si>
    <t>Site Information</t>
  </si>
  <si>
    <t xml:space="preserve"> Use appropriate significant digits for all values</t>
  </si>
  <si>
    <t>Site name</t>
  </si>
  <si>
    <t>Location</t>
  </si>
  <si>
    <t>Northernmost latitude (decimal degree, South negative, WGS84)</t>
  </si>
  <si>
    <t>Southernmost latitude (decimal degree, South negative, WGS84)</t>
  </si>
  <si>
    <t>Easternmost longitude (decimal degree, West negative, WGS84)</t>
  </si>
  <si>
    <t>Westernmost longitude (decimal degree, West negative, WGS84)</t>
  </si>
  <si>
    <t>elevation (m), below sea level negative</t>
  </si>
  <si>
    <t>Data Collection Information</t>
  </si>
  <si>
    <t>Collection_Name (typically a core name)</t>
  </si>
  <si>
    <t>Oldest Year (relative to 1950AD)</t>
  </si>
  <si>
    <t>Most Recent Year (relative to 1950AD)</t>
  </si>
  <si>
    <t>Time_Unit</t>
  </si>
  <si>
    <t>Notes</t>
  </si>
  <si>
    <t>Core_Length (m)</t>
  </si>
  <si>
    <t>Species Info (for Tree ring data)</t>
  </si>
  <si>
    <t xml:space="preserve">Any additional species should be entered in Columns C,D, etc. </t>
  </si>
  <si>
    <t>Species_Name</t>
  </si>
  <si>
    <t>Common_Name (for example, at the level of Family or higher)</t>
  </si>
  <si>
    <t>Tree_Species_code (Four Letters)</t>
  </si>
  <si>
    <t>Funding_Agency</t>
  </si>
  <si>
    <t xml:space="preserve">Any additional Funding agencies and grants should be entered in Columns C,D, etc. </t>
  </si>
  <si>
    <t>Funding_Agency_Name</t>
  </si>
  <si>
    <t>Grant</t>
  </si>
  <si>
    <t>Please Do Not Modify This Page</t>
  </si>
  <si>
    <t>Selectone</t>
  </si>
  <si>
    <t xml:space="preserve">borehole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</si>
  <si>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climate forcing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</si>
  <si>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corals and sclerosponges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</si>
  <si>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fauna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</si>
  <si>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fire history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</si>
  <si>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historical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</si>
  <si>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ice cores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</si>
  <si>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insect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</si>
  <si>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Paleoclimatic Modeling</t>
  </si>
  <si>
    <t xml:space="preserve">paleoceanography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</si>
  <si>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paleolimnology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</si>
  <si>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plant macrofossils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</si>
  <si>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pollen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</si>
  <si>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Climate reconstructions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</si>
  <si>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speleothems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</si>
  <si>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tree ring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</si>
  <si>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instrumental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</si>
  <si>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loess</t>
  </si>
  <si>
    <t>lake levels</t>
  </si>
  <si>
    <t>physical properties</t>
  </si>
  <si>
    <t>carbon dioxide</t>
  </si>
  <si>
    <t>age control</t>
  </si>
  <si>
    <t xml:space="preserve">charcoal sediment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</si>
  <si>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document</t>
  </si>
  <si>
    <t>population abundance</t>
  </si>
  <si>
    <t>atmosphere model</t>
  </si>
  <si>
    <t>air temperature</t>
  </si>
  <si>
    <t>carbon isotopes</t>
  </si>
  <si>
    <t>atmospheric temperature</t>
  </si>
  <si>
    <t>No Keywords available</t>
  </si>
  <si>
    <t>other</t>
  </si>
  <si>
    <t>solar</t>
  </si>
  <si>
    <t>establishment dates</t>
  </si>
  <si>
    <t>weather observation</t>
  </si>
  <si>
    <t>atmospheric gas</t>
  </si>
  <si>
    <t>land model</t>
  </si>
  <si>
    <t>biomarkers</t>
  </si>
  <si>
    <t>precipitation</t>
  </si>
  <si>
    <t>density</t>
  </si>
  <si>
    <t>Borehole</t>
  </si>
  <si>
    <t>volcanic</t>
  </si>
  <si>
    <t>population count</t>
  </si>
  <si>
    <t>fire scar dates</t>
  </si>
  <si>
    <t>phenology</t>
  </si>
  <si>
    <t>borehole measurements</t>
  </si>
  <si>
    <t>ocean model</t>
  </si>
  <si>
    <t>geochemistry</t>
  </si>
  <si>
    <t>ground water</t>
  </si>
  <si>
    <t>hydrogen isotopes</t>
  </si>
  <si>
    <t>pressure</t>
  </si>
  <si>
    <t>Climate Forcing</t>
  </si>
  <si>
    <t>oxygen isotopes</t>
  </si>
  <si>
    <t>ship logs</t>
  </si>
  <si>
    <t>other model</t>
  </si>
  <si>
    <t>lake level</t>
  </si>
  <si>
    <t>lithology</t>
  </si>
  <si>
    <t>cryosphere</t>
  </si>
  <si>
    <t>Climate Reconstructions</t>
  </si>
  <si>
    <t>trace metals</t>
  </si>
  <si>
    <t>crop harvests</t>
  </si>
  <si>
    <t>chemistry</t>
  </si>
  <si>
    <t>sea ice model</t>
  </si>
  <si>
    <t>salinity</t>
  </si>
  <si>
    <t xml:space="preserve">width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</si>
  <si>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Corals and Sclerosponges</t>
  </si>
  <si>
    <t>instrumental data</t>
  </si>
  <si>
    <t>magnetic susceptibility</t>
  </si>
  <si>
    <t>sea level</t>
  </si>
  <si>
    <t>Fauna</t>
  </si>
  <si>
    <t>mineralogy</t>
  </si>
  <si>
    <t>nitrogen isotopes</t>
  </si>
  <si>
    <t>atmospheric circulation</t>
  </si>
  <si>
    <t>Fire History</t>
  </si>
  <si>
    <t>reconstruction</t>
  </si>
  <si>
    <t>vegetation</t>
  </si>
  <si>
    <t>Historical</t>
  </si>
  <si>
    <t>sea surface temperature</t>
  </si>
  <si>
    <t>Ice Cores</t>
  </si>
  <si>
    <t>radiogenic isotope</t>
  </si>
  <si>
    <t>streamflow</t>
  </si>
  <si>
    <t>Insect</t>
  </si>
  <si>
    <t>trace metals in carbonates</t>
  </si>
  <si>
    <t>solar radiation</t>
  </si>
  <si>
    <t>Instrumental</t>
  </si>
  <si>
    <t>ice extent</t>
  </si>
  <si>
    <t>Lake Levels</t>
  </si>
  <si>
    <t>elevation</t>
  </si>
  <si>
    <t>Loess</t>
  </si>
  <si>
    <t>accumulation</t>
  </si>
  <si>
    <t>lake salinity</t>
  </si>
  <si>
    <t>Paleoceanography</t>
  </si>
  <si>
    <t>pH</t>
  </si>
  <si>
    <t>equilibrium line altitude</t>
  </si>
  <si>
    <t>Paleolimnology</t>
  </si>
  <si>
    <t>sea ice</t>
  </si>
  <si>
    <t>Plant Macrofossils</t>
  </si>
  <si>
    <t>ice elevation</t>
  </si>
  <si>
    <t>Pollen</t>
  </si>
  <si>
    <t>pseudo proxy</t>
  </si>
  <si>
    <t>Speleothems</t>
  </si>
  <si>
    <t>Tree Ring</t>
  </si>
  <si>
    <t>Other Collections</t>
  </si>
  <si>
    <t xml:space="preserve">loess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</si>
  <si>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lake levels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</si>
  <si>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others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</si>
  <si>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software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</si>
  <si>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database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</si>
  <si>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repository </t>
  </si>
  <si>
    <t>Air Temperature Reconstruction</t>
  </si>
  <si>
    <t>Annual Resolution (AR)</t>
  </si>
  <si>
    <t>Antarctic Oscillation (AAO)</t>
  </si>
  <si>
    <t>Arctic</t>
  </si>
  <si>
    <t>Arctic Oscillation (AO)</t>
  </si>
  <si>
    <t>Atmospheric Gas Reconstruction</t>
  </si>
  <si>
    <t>Atmospheric and Oceanic Circulation Patterns Reconstruction</t>
  </si>
  <si>
    <t>Dansgaard-Oeschger cycles</t>
  </si>
  <si>
    <t>ENSO</t>
  </si>
  <si>
    <t>Earth Surface Conditions Reconstruction</t>
  </si>
  <si>
    <t>Glacial</t>
  </si>
  <si>
    <t>Glaciers and Ice Sheets Reconstruction</t>
  </si>
  <si>
    <t>Hadley Circulation</t>
  </si>
  <si>
    <t>Heinrich Events</t>
  </si>
  <si>
    <t>Hurricanes and Tropical Cyclones Reconstruction</t>
  </si>
  <si>
    <t>Indian Ocean Dipole (IOP)</t>
  </si>
  <si>
    <t>Interdecadal Pacific Oscillation (IPO)</t>
  </si>
  <si>
    <t>Interglacial</t>
  </si>
  <si>
    <t>Intertropical Convergence Zone (ITCZ)</t>
  </si>
  <si>
    <t>Last Glacial Maximum</t>
  </si>
  <si>
    <t>Last Interglacial</t>
  </si>
  <si>
    <t>Little Ice Age (LIA)</t>
  </si>
  <si>
    <t>Medieval Climate Anomaly (MCA)</t>
  </si>
  <si>
    <t>Medieval Warm Period</t>
  </si>
  <si>
    <t>Meridional Overturning Circulation (MOC)</t>
  </si>
  <si>
    <t>Milankovitch</t>
  </si>
  <si>
    <t>Monsoon</t>
  </si>
  <si>
    <t>North Atlantic Oscillation</t>
  </si>
  <si>
    <t>Other Hydroclimate Reconstruction</t>
  </si>
  <si>
    <t>Other Reconstruction</t>
  </si>
  <si>
    <t>Pacific Decadal Oscillation</t>
  </si>
  <si>
    <t>Palmer Drought Index Reconstruction</t>
  </si>
  <si>
    <t>Precipitation Reconstruction</t>
  </si>
  <si>
    <t>Sea Ice Reconstruction</t>
  </si>
  <si>
    <t>Sea Level Reconstruction</t>
  </si>
  <si>
    <t>Sea Surface Temperature Reconstruction</t>
  </si>
  <si>
    <t>Seasonal Resolution (SR)</t>
  </si>
  <si>
    <t>Solar Forcing Reconstruction</t>
  </si>
  <si>
    <t>Southern Annular Mode (SAM)</t>
  </si>
  <si>
    <t>Streamflow Reconstruction</t>
  </si>
  <si>
    <t>Tropics</t>
  </si>
  <si>
    <t>Vegetation Reconstruction</t>
  </si>
  <si>
    <t>Warm Pool</t>
  </si>
  <si>
    <t>Younger Dryas</t>
  </si>
  <si>
    <t>abrupt climate change</t>
  </si>
  <si>
    <t>biogeochemical cycles</t>
  </si>
  <si>
    <t>biogeography</t>
  </si>
  <si>
    <t>carbon cycle</t>
  </si>
  <si>
    <t>centennial resolution</t>
  </si>
  <si>
    <t>decadal resolution</t>
  </si>
  <si>
    <t>Parameter Keyword List:</t>
  </si>
  <si>
    <t>Note: it will take a second for value selected below to populate cell B40</t>
  </si>
  <si>
    <t>Chronology Table Containing Measured Depths and Ages</t>
  </si>
  <si>
    <t>Put data used for building the age model on this sheet. See "Example C14 Chronology" tab for an example table.</t>
  </si>
  <si>
    <t>Chronology Notes</t>
  </si>
  <si>
    <t>Chronology Table As Paragraph (insert table into cell B3) not preferred</t>
  </si>
  <si>
    <t>Chronology Table (Use as many rows and columns are needed below this line)</t>
  </si>
  <si>
    <t xml:space="preserve">NOTE: Additional Chronology tables should be put below the first one with no more than one blank line. </t>
  </si>
  <si>
    <t>Variables</t>
  </si>
  <si>
    <t>Use one row to define each variable, beginning with depth then age; use additional templates for additional tables</t>
  </si>
  <si>
    <t>Note: Data_Format is 'N' for numeric and 'C' for character data</t>
  </si>
  <si>
    <t>Short_name</t>
  </si>
  <si>
    <t>What</t>
  </si>
  <si>
    <t>Material</t>
  </si>
  <si>
    <t>Error</t>
  </si>
  <si>
    <t>Units</t>
  </si>
  <si>
    <t>Seasonality</t>
  </si>
  <si>
    <t>Detail</t>
  </si>
  <si>
    <t>Method</t>
  </si>
  <si>
    <t>Data_Format</t>
  </si>
  <si>
    <t>Additional_Information</t>
  </si>
  <si>
    <t xml:space="preserve">The Variable Fields: What, Material,Error, Units,Seasonality, Data_Type, Detail, Method, and Data_Format should be filled using the Controlled Vocabulary lists provided at &lt;https://www.ncdc.noaa.gov/paleo-search/cvterms&gt;. The Additional_Information field is a free text field for providing any other information needed to describe the variable. </t>
  </si>
  <si>
    <t>Data</t>
  </si>
  <si>
    <t>Paste Data Table below starting in Column A</t>
  </si>
  <si>
    <t xml:space="preserve">Missing Value </t>
  </si>
  <si>
    <t>The value or character string used as a placeholder for missing values</t>
  </si>
  <si>
    <t>depth</t>
  </si>
  <si>
    <t>N</t>
  </si>
  <si>
    <t>age</t>
  </si>
  <si>
    <t>per mil PDB</t>
  </si>
  <si>
    <t>isotope ratio mass spectrometry</t>
  </si>
  <si>
    <t>Note: it will take a second for value selected below to populate cell B7</t>
  </si>
  <si>
    <t>carbon isotopes, biomarkers, geochemistry</t>
  </si>
  <si>
    <t>NOAA Science Keywords:</t>
  </si>
  <si>
    <t>Select Keyword(s)</t>
  </si>
  <si>
    <t>Parameter Keywords  (see possible terms in proxy-specific list - Cell D39)</t>
  </si>
  <si>
    <r>
      <t xml:space="preserve">NOAAScience Keywords (optional, </t>
    </r>
    <r>
      <rPr>
        <b/>
        <sz val="11"/>
        <color rgb="FFFF0000"/>
        <rFont val="Calibri"/>
        <family val="2"/>
        <scheme val="minor"/>
      </rPr>
      <t>select any that apply</t>
    </r>
    <r>
      <rPr>
        <sz val="11"/>
        <color theme="1"/>
        <rFont val="Calibri"/>
        <family val="2"/>
        <scheme val="minor"/>
      </rPr>
      <t xml:space="preserve"> from Cell D6 list)</t>
    </r>
  </si>
  <si>
    <t>NA</t>
  </si>
  <si>
    <t>Rivera-Araya, M.; Bird, M.</t>
  </si>
  <si>
    <t>Last Glacial Maximum, Monsoon, Tropics, Vegetation Reconstruction</t>
  </si>
  <si>
    <t>Reconstructing the environmental history of Sanamere Lagoon in Cape York Peninsula (32,000 years ago - Present)</t>
  </si>
  <si>
    <t>Sanamere Lagoon</t>
  </si>
  <si>
    <t>Cape York Peninsula</t>
  </si>
  <si>
    <t>SAN8</t>
  </si>
  <si>
    <t>calendar year before present</t>
  </si>
  <si>
    <t>Australian Research Council</t>
  </si>
  <si>
    <t>Australian Institute of Science and Engineering</t>
  </si>
  <si>
    <t>L140100044</t>
  </si>
  <si>
    <t>Centre of Excellence for Australian Biodiversity and Heritage</t>
  </si>
  <si>
    <t>CE170100015</t>
  </si>
  <si>
    <t>Because of the complexity of the chronology of this core, an entire chapter in the thesis was dedicated to build it. Please refer to chapter 4 of the thesis</t>
  </si>
  <si>
    <t>diatom</t>
  </si>
  <si>
    <t>percentage</t>
  </si>
  <si>
    <t>median</t>
  </si>
  <si>
    <t>calibrated years before present</t>
  </si>
  <si>
    <t>accelerator mass spectrometry</t>
  </si>
  <si>
    <t>Sample identification</t>
  </si>
  <si>
    <t>Identifier</t>
  </si>
  <si>
    <t>Depth</t>
  </si>
  <si>
    <t>C</t>
  </si>
  <si>
    <t>Laboratory code for internal management purposes</t>
  </si>
  <si>
    <t>centimeters</t>
  </si>
  <si>
    <t>d_g_wet_sed</t>
  </si>
  <si>
    <t>NorTi</t>
  </si>
  <si>
    <t>NorAl</t>
  </si>
  <si>
    <t>NorSi</t>
  </si>
  <si>
    <t>NorSr</t>
  </si>
  <si>
    <t>NorRb</t>
  </si>
  <si>
    <t>NorCa</t>
  </si>
  <si>
    <t>NorFe</t>
  </si>
  <si>
    <t>sedrate.mm</t>
  </si>
  <si>
    <t>Water</t>
  </si>
  <si>
    <t>Dry_bulk_density2</t>
  </si>
  <si>
    <t>Fraction</t>
  </si>
  <si>
    <t>Percentage</t>
  </si>
  <si>
    <t>averaged.d13C</t>
  </si>
  <si>
    <t>averaged.C.N</t>
  </si>
  <si>
    <t>averaged.d15N</t>
  </si>
  <si>
    <t>averaged.C</t>
  </si>
  <si>
    <t>averaged.N</t>
  </si>
  <si>
    <t>max</t>
  </si>
  <si>
    <t>min</t>
  </si>
  <si>
    <t>mean</t>
  </si>
  <si>
    <t>PrC</t>
  </si>
  <si>
    <t>Fe_Ti</t>
  </si>
  <si>
    <t>Si_Ti</t>
  </si>
  <si>
    <t>Si_Al</t>
  </si>
  <si>
    <t>Al_Si</t>
  </si>
  <si>
    <t>Ti_Al</t>
  </si>
  <si>
    <t>roll_Al_Si</t>
  </si>
  <si>
    <t>roll_Si_Al</t>
  </si>
  <si>
    <t>roll_Ti_Al</t>
  </si>
  <si>
    <t>roll_Fe</t>
  </si>
  <si>
    <t>sumdepth_sand_coarse</t>
  </si>
  <si>
    <t>roll_Ti</t>
  </si>
  <si>
    <t>number of diatoms/centimeters</t>
  </si>
  <si>
    <t>titanium</t>
  </si>
  <si>
    <t>alumimun</t>
  </si>
  <si>
    <t>silicon</t>
  </si>
  <si>
    <t>strontium</t>
  </si>
  <si>
    <t>rubidium</t>
  </si>
  <si>
    <t>calcium</t>
  </si>
  <si>
    <t>iron</t>
  </si>
  <si>
    <t>No units are applicable as these are normalised counts</t>
  </si>
  <si>
    <t>sedimentation rate</t>
  </si>
  <si>
    <t>milimeters/year</t>
  </si>
  <si>
    <t>water</t>
  </si>
  <si>
    <t>grain size class</t>
  </si>
  <si>
    <t>grain size median</t>
  </si>
  <si>
    <t>laser particle size analysis</t>
  </si>
  <si>
    <t>isotope ratio</t>
  </si>
  <si>
    <t>carbon/nitrogen</t>
  </si>
  <si>
    <t>carbon</t>
  </si>
  <si>
    <t>nitrogen</t>
  </si>
  <si>
    <t>principal component</t>
  </si>
  <si>
    <t>iron/titanium</t>
  </si>
  <si>
    <t>silicon/titanium</t>
  </si>
  <si>
    <t>silicon/aluminum</t>
  </si>
  <si>
    <t>alumimun/silicon</t>
  </si>
  <si>
    <t>titanium/aluminum</t>
  </si>
  <si>
    <t>rolling mean</t>
  </si>
  <si>
    <t>sand</t>
  </si>
  <si>
    <t>x-ray flourescence spectroscopy</t>
  </si>
  <si>
    <t>Counts</t>
  </si>
  <si>
    <t>phytolith</t>
  </si>
  <si>
    <t>counts</t>
  </si>
  <si>
    <t>id2</t>
  </si>
  <si>
    <t>plant group identification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</si>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</sst>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color rgb="FF9C65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EB9C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18">
    <xf numFmtId="0" fontId="0" fillId="0" borderId="0" xfId="0"/>
    <xf numFmtId="0" fontId="0" fillId="4" borderId="0" xfId="0" applyFill="1"/>
    <xf numFmtId="0" fontId="5" fillId="4" borderId="0" xfId="0" applyFont="1" applyFill="1"/>
    <xf numFmtId="0" fontId="3" fillId="0" borderId="0" xfId="0" applyFont="1"/>
    <xf numFmtId="0" fontId="2" fillId="3" borderId="1" xfId="2"/>
    <xf numFmtId="0" fontId="1" fillId="2" borderId="0" xfId="1"/>
    <xf numFmtId="0" fontId="0" fillId="4" borderId="0" xfId="0" applyFill="1" applyBorder="1"/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4" fillId="0" borderId="0" xfId="0" applyFont="1"/>
    <xf numFmtId="0" fontId="1" fillId="2" borderId="2" xfId="1" applyBorder="1" applyAlignment="1"/>
    <xf numFmtId="0" fontId="2" fillId="3" borderId="1" xfId="2" applyAlignment="1">
      <alignment horizontal="center"/>
    </xf>
    <xf numFmtId="0" fontId="2" fillId="3" borderId="1" xfId="2" applyAlignment="1"/>
    <xf numFmtId="0" fontId="3" fillId="0" borderId="0" xfId="0" applyFont="1" applyAlignment="1">
      <alignment horizontal="left"/>
    </xf>
    <xf numFmtId="0" fontId="5" fillId="0" borderId="0" xfId="0" applyFont="1"/>
    <xf numFmtId="0" fontId="7" fillId="0" borderId="0" xfId="0" applyFont="1"/>
    <xf numFmtId="0" fontId="8" fillId="5" borderId="0" xfId="0" applyFont="1" applyFill="1"/>
    <xf numFmtId="0" fontId="0" fillId="0" borderId="0" xfId="0" applyFill="1"/>
  </cellXfs>
  <cellStyles count="3">
    <cellStyle name="Check Cell" xfId="2" builtinId="23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189A-17CD-4F62-9A69-8A734F54187E}">
  <sheetPr codeName="Sheet1"/>
  <dimension ref="A1:E51"/>
  <sheetViews>
    <sheetView tabSelected="1" workbookViewId="0">
      <selection activeCell="G23" sqref="G23"/>
    </sheetView>
  </sheetViews>
  <sheetFormatPr defaultRowHeight="15" x14ac:dyDescent="0.25"/>
  <cols>
    <col min="1" max="1" width="57.42578125" customWidth="1"/>
    <col min="2" max="2" width="31.140625" customWidth="1"/>
    <col min="3" max="3" width="21.140625" customWidth="1"/>
    <col min="4" max="4" width="23.42578125" customWidth="1"/>
    <col min="5" max="5" width="19.140625" customWidth="1"/>
  </cols>
  <sheetData>
    <row r="1" spans="1:5" x14ac:dyDescent="0.25">
      <c r="A1" t="s">
        <v>0</v>
      </c>
    </row>
    <row r="2" spans="1:5" x14ac:dyDescent="0.25">
      <c r="A2" s="1" t="s">
        <v>1</v>
      </c>
      <c r="C2" t="s">
        <v>249</v>
      </c>
    </row>
    <row r="3" spans="1:5" x14ac:dyDescent="0.25">
      <c r="A3" s="1" t="s">
        <v>2</v>
      </c>
      <c r="C3" t="s">
        <v>246</v>
      </c>
    </row>
    <row r="4" spans="1:5" x14ac:dyDescent="0.25">
      <c r="A4" s="1" t="s">
        <v>3</v>
      </c>
      <c r="C4" t="s">
        <v>246</v>
      </c>
    </row>
    <row r="5" spans="1:5" x14ac:dyDescent="0.25">
      <c r="A5" s="1" t="s">
        <v>4</v>
      </c>
      <c r="C5" t="s">
        <v>247</v>
      </c>
      <c r="D5" s="5" t="s">
        <v>240</v>
      </c>
    </row>
    <row r="6" spans="1:5" x14ac:dyDescent="0.25">
      <c r="A6" s="1" t="s">
        <v>5</v>
      </c>
      <c r="B6" t="s">
        <v>136</v>
      </c>
      <c r="C6" s="2" t="s">
        <v>242</v>
      </c>
      <c r="D6" t="s">
        <v>200</v>
      </c>
      <c r="E6" s="3"/>
    </row>
    <row r="7" spans="1:5" x14ac:dyDescent="0.25">
      <c r="A7" s="1" t="s">
        <v>245</v>
      </c>
      <c r="B7" t="s">
        <v>248</v>
      </c>
    </row>
    <row r="8" spans="1:5" x14ac:dyDescent="0.25">
      <c r="A8" s="1" t="s">
        <v>7</v>
      </c>
    </row>
    <row r="9" spans="1:5" x14ac:dyDescent="0.25">
      <c r="A9" s="1" t="s">
        <v>8</v>
      </c>
    </row>
    <row r="10" spans="1:5" ht="15.75" thickBot="1" x14ac:dyDescent="0.3"/>
    <row r="11" spans="1:5" ht="16.5" thickTop="1" thickBot="1" x14ac:dyDescent="0.3">
      <c r="A11" s="4" t="s">
        <v>9</v>
      </c>
      <c r="B11" s="5" t="s">
        <v>10</v>
      </c>
    </row>
    <row r="12" spans="1:5" ht="15.75" thickTop="1" x14ac:dyDescent="0.25">
      <c r="A12" s="1" t="s">
        <v>11</v>
      </c>
    </row>
    <row r="13" spans="1:5" x14ac:dyDescent="0.25">
      <c r="A13" s="1" t="s">
        <v>12</v>
      </c>
    </row>
    <row r="14" spans="1:5" x14ac:dyDescent="0.25">
      <c r="A14" s="1" t="s">
        <v>13</v>
      </c>
    </row>
    <row r="15" spans="1:5" x14ac:dyDescent="0.25">
      <c r="A15" s="1" t="s">
        <v>14</v>
      </c>
    </row>
    <row r="16" spans="1:5" x14ac:dyDescent="0.25">
      <c r="A16" s="1" t="s">
        <v>15</v>
      </c>
    </row>
    <row r="17" spans="1:3" x14ac:dyDescent="0.25">
      <c r="A17" s="1" t="s">
        <v>16</v>
      </c>
    </row>
    <row r="18" spans="1:3" x14ac:dyDescent="0.25">
      <c r="A18" s="1" t="s">
        <v>17</v>
      </c>
    </row>
    <row r="19" spans="1:3" x14ac:dyDescent="0.25">
      <c r="A19" s="1" t="s">
        <v>18</v>
      </c>
    </row>
    <row r="20" spans="1:3" x14ac:dyDescent="0.25">
      <c r="A20" s="1" t="s">
        <v>19</v>
      </c>
    </row>
    <row r="21" spans="1:3" x14ac:dyDescent="0.25">
      <c r="A21" s="1" t="s">
        <v>20</v>
      </c>
    </row>
    <row r="22" spans="1:3" x14ac:dyDescent="0.25">
      <c r="A22" s="1" t="s">
        <v>21</v>
      </c>
    </row>
    <row r="23" spans="1:3" x14ac:dyDescent="0.25">
      <c r="A23" s="1" t="s">
        <v>22</v>
      </c>
    </row>
    <row r="24" spans="1:3" x14ac:dyDescent="0.25">
      <c r="A24" s="1" t="s">
        <v>23</v>
      </c>
    </row>
    <row r="25" spans="1:3" ht="15.75" thickBot="1" x14ac:dyDescent="0.3"/>
    <row r="26" spans="1:3" ht="16.5" thickTop="1" thickBot="1" x14ac:dyDescent="0.3">
      <c r="A26" s="4" t="s">
        <v>24</v>
      </c>
      <c r="B26" s="5" t="s">
        <v>25</v>
      </c>
    </row>
    <row r="27" spans="1:3" ht="15.75" thickTop="1" x14ac:dyDescent="0.25">
      <c r="A27" s="1" t="s">
        <v>26</v>
      </c>
      <c r="C27" t="s">
        <v>250</v>
      </c>
    </row>
    <row r="28" spans="1:3" x14ac:dyDescent="0.25">
      <c r="A28" s="1" t="s">
        <v>27</v>
      </c>
      <c r="C28" t="s">
        <v>251</v>
      </c>
    </row>
    <row r="29" spans="1:3" x14ac:dyDescent="0.25">
      <c r="A29" s="1" t="s">
        <v>28</v>
      </c>
      <c r="C29">
        <v>-11.122999999999999</v>
      </c>
    </row>
    <row r="30" spans="1:3" x14ac:dyDescent="0.25">
      <c r="A30" s="1" t="s">
        <v>29</v>
      </c>
      <c r="C30" s="5">
        <v>-11.122999999999999</v>
      </c>
    </row>
    <row r="31" spans="1:3" x14ac:dyDescent="0.25">
      <c r="A31" s="1" t="s">
        <v>30</v>
      </c>
      <c r="C31">
        <v>142.35900000000001</v>
      </c>
    </row>
    <row r="32" spans="1:3" x14ac:dyDescent="0.25">
      <c r="A32" s="1" t="s">
        <v>31</v>
      </c>
      <c r="C32">
        <v>142.35900000000001</v>
      </c>
    </row>
    <row r="33" spans="1:4" x14ac:dyDescent="0.25">
      <c r="A33" s="1" t="s">
        <v>32</v>
      </c>
      <c r="C33">
        <v>57</v>
      </c>
    </row>
    <row r="34" spans="1:4" ht="15.75" thickBot="1" x14ac:dyDescent="0.3"/>
    <row r="35" spans="1:4" ht="16.5" thickTop="1" thickBot="1" x14ac:dyDescent="0.3">
      <c r="A35" s="4" t="s">
        <v>33</v>
      </c>
    </row>
    <row r="36" spans="1:4" ht="15.75" thickTop="1" x14ac:dyDescent="0.25">
      <c r="A36" s="6" t="s">
        <v>34</v>
      </c>
      <c r="C36" t="s">
        <v>252</v>
      </c>
    </row>
    <row r="37" spans="1:4" x14ac:dyDescent="0.25">
      <c r="A37" s="6" t="s">
        <v>35</v>
      </c>
      <c r="C37">
        <v>32000</v>
      </c>
    </row>
    <row r="38" spans="1:4" x14ac:dyDescent="0.25">
      <c r="A38" s="6" t="s">
        <v>36</v>
      </c>
      <c r="C38">
        <v>0</v>
      </c>
      <c r="D38" s="5" t="s">
        <v>210</v>
      </c>
    </row>
    <row r="39" spans="1:4" x14ac:dyDescent="0.25">
      <c r="A39" s="6" t="s">
        <v>37</v>
      </c>
      <c r="B39" t="s">
        <v>253</v>
      </c>
      <c r="C39" s="1" t="s">
        <v>209</v>
      </c>
      <c r="D39" t="s">
        <v>80</v>
      </c>
    </row>
    <row r="40" spans="1:4" x14ac:dyDescent="0.25">
      <c r="A40" s="1" t="s">
        <v>244</v>
      </c>
      <c r="B40" t="s">
        <v>241</v>
      </c>
      <c r="C40" s="17"/>
    </row>
    <row r="41" spans="1:4" x14ac:dyDescent="0.25">
      <c r="A41" s="6" t="s">
        <v>38</v>
      </c>
    </row>
    <row r="42" spans="1:4" x14ac:dyDescent="0.25">
      <c r="A42" s="6" t="s">
        <v>39</v>
      </c>
      <c r="B42">
        <v>1.72</v>
      </c>
    </row>
    <row r="43" spans="1:4" ht="15.75" thickBot="1" x14ac:dyDescent="0.3"/>
    <row r="44" spans="1:4" ht="16.5" thickTop="1" thickBot="1" x14ac:dyDescent="0.3">
      <c r="A44" s="4" t="s">
        <v>40</v>
      </c>
      <c r="B44" s="5" t="s">
        <v>41</v>
      </c>
    </row>
    <row r="45" spans="1:4" ht="15.75" thickTop="1" x14ac:dyDescent="0.25">
      <c r="A45" s="6" t="s">
        <v>42</v>
      </c>
    </row>
    <row r="46" spans="1:4" x14ac:dyDescent="0.25">
      <c r="A46" s="6" t="s">
        <v>43</v>
      </c>
    </row>
    <row r="47" spans="1:4" x14ac:dyDescent="0.25">
      <c r="A47" s="6" t="s">
        <v>44</v>
      </c>
    </row>
    <row r="48" spans="1:4" ht="15.75" thickBot="1" x14ac:dyDescent="0.3"/>
    <row r="49" spans="1:4" ht="16.5" thickTop="1" thickBot="1" x14ac:dyDescent="0.3">
      <c r="A49" s="4" t="s">
        <v>45</v>
      </c>
      <c r="B49" s="5" t="s">
        <v>46</v>
      </c>
    </row>
    <row r="50" spans="1:4" ht="15.75" thickTop="1" x14ac:dyDescent="0.25">
      <c r="A50" s="6" t="s">
        <v>47</v>
      </c>
      <c r="B50" t="s">
        <v>254</v>
      </c>
      <c r="C50" t="s">
        <v>255</v>
      </c>
      <c r="D50" t="s">
        <v>257</v>
      </c>
    </row>
    <row r="51" spans="1:4" x14ac:dyDescent="0.25">
      <c r="A51" s="6" t="s">
        <v>48</v>
      </c>
      <c r="B51" t="s">
        <v>256</v>
      </c>
      <c r="C51">
        <v>12357</v>
      </c>
      <c r="D51" t="s">
        <v>258</v>
      </c>
    </row>
  </sheetData>
  <dataValidations count="2">
    <dataValidation type="list" allowBlank="1" showInputMessage="1" showErrorMessage="1" sqref="D39:D40" xr:uid="{C4BE6FAB-1D5E-4469-B1B0-BCD6AF72823A}">
      <formula1>INDIRECT(SUBSTITUTE($B$6," ","_"))</formula1>
    </dataValidation>
    <dataValidation type="list" allowBlank="1" showInputMessage="1" showErrorMessage="1" sqref="B39" xr:uid="{94DA438E-A6B9-4F20-AFED-0174FC02B3A9}">
      <formula1>"Select unit,year Common Era,calendar year before present,radiocarbon year before present"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011814-9A4A-4983-AA2D-EBC21A080811}">
          <x14:formula1>
            <xm:f>ProxyAndReconstructionInfo!$A$3:$A$23</xm:f>
          </x14:formula1>
          <xm:sqref>B6</xm:sqref>
        </x14:dataValidation>
        <x14:dataValidation type="list" allowBlank="1" showInputMessage="1" showErrorMessage="1" promptTitle="NOAA Science Keywords" prompt="List of Valid Keywords to use in Cell B7" xr:uid="{AE69DD90-E203-499A-AE17-560BD1122855}">
          <x14:formula1>
            <xm:f>NOAASciKeywords!A1:A89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A6F96-0F62-464A-98FC-A38A48F61F85}">
  <sheetPr codeName="Sheet4"/>
  <dimension ref="A1:Q24"/>
  <sheetViews>
    <sheetView workbookViewId="0">
      <selection activeCell="B3" sqref="B3"/>
    </sheetView>
  </sheetViews>
  <sheetFormatPr defaultRowHeight="15" x14ac:dyDescent="0.25"/>
  <cols>
    <col min="1" max="1" width="51.85546875" customWidth="1"/>
  </cols>
  <sheetData>
    <row r="1" spans="1:2" ht="16.5" thickTop="1" thickBot="1" x14ac:dyDescent="0.3">
      <c r="A1" s="4" t="s">
        <v>211</v>
      </c>
      <c r="B1" s="5" t="s">
        <v>212</v>
      </c>
    </row>
    <row r="2" spans="1:2" ht="15.75" thickTop="1" x14ac:dyDescent="0.25">
      <c r="A2" s="1" t="s">
        <v>213</v>
      </c>
      <c r="B2" t="s">
        <v>259</v>
      </c>
    </row>
    <row r="3" spans="1:2" x14ac:dyDescent="0.25">
      <c r="A3" s="1" t="s">
        <v>214</v>
      </c>
    </row>
    <row r="4" spans="1:2" x14ac:dyDescent="0.25">
      <c r="A4" s="6" t="s">
        <v>215</v>
      </c>
      <c r="B4" s="5" t="s">
        <v>216</v>
      </c>
    </row>
    <row r="24" spans="1:17" x14ac:dyDescent="0.25">
      <c r="A24" s="13"/>
      <c r="B24" s="3"/>
      <c r="C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E77F6-CD2D-493B-B6C5-E50240AA8703}">
  <sheetPr codeName="Sheet5"/>
  <dimension ref="A1:M51"/>
  <sheetViews>
    <sheetView topLeftCell="A13" workbookViewId="0">
      <selection activeCell="I42" sqref="I42"/>
    </sheetView>
  </sheetViews>
  <sheetFormatPr defaultRowHeight="15" x14ac:dyDescent="0.25"/>
  <cols>
    <col min="1" max="1" width="16" customWidth="1"/>
    <col min="6" max="6" width="10.5703125" customWidth="1"/>
    <col min="7" max="7" width="10.85546875" customWidth="1"/>
    <col min="10" max="10" width="12.42578125" customWidth="1"/>
    <col min="11" max="11" width="20.5703125" customWidth="1"/>
  </cols>
  <sheetData>
    <row r="1" spans="1:13" ht="16.5" thickTop="1" thickBot="1" x14ac:dyDescent="0.3">
      <c r="A1" s="4" t="s">
        <v>217</v>
      </c>
      <c r="B1" s="5" t="s">
        <v>218</v>
      </c>
      <c r="J1" s="10" t="s">
        <v>219</v>
      </c>
    </row>
    <row r="2" spans="1:13" ht="16.5" thickTop="1" thickBot="1" x14ac:dyDescent="0.3">
      <c r="A2" s="11" t="s">
        <v>220</v>
      </c>
      <c r="B2" s="11" t="s">
        <v>221</v>
      </c>
      <c r="C2" s="11" t="s">
        <v>222</v>
      </c>
      <c r="D2" s="11" t="s">
        <v>223</v>
      </c>
      <c r="E2" s="11" t="s">
        <v>224</v>
      </c>
      <c r="F2" s="11" t="s">
        <v>225</v>
      </c>
      <c r="G2" s="11" t="s">
        <v>5</v>
      </c>
      <c r="H2" s="11" t="s">
        <v>226</v>
      </c>
      <c r="I2" s="11" t="s">
        <v>227</v>
      </c>
      <c r="J2" s="12" t="s">
        <v>228</v>
      </c>
      <c r="K2" s="12" t="s">
        <v>229</v>
      </c>
      <c r="M2" s="5" t="s">
        <v>230</v>
      </c>
    </row>
    <row r="3" spans="1:13" ht="15.75" thickTop="1" x14ac:dyDescent="0.25">
      <c r="A3" t="s">
        <v>260</v>
      </c>
      <c r="B3" t="s">
        <v>260</v>
      </c>
      <c r="E3" t="s">
        <v>261</v>
      </c>
      <c r="G3" t="s">
        <v>236</v>
      </c>
      <c r="I3" t="s">
        <v>337</v>
      </c>
      <c r="J3" t="s">
        <v>268</v>
      </c>
    </row>
    <row r="4" spans="1:13" x14ac:dyDescent="0.25">
      <c r="A4" s="16" t="s">
        <v>262</v>
      </c>
      <c r="B4" t="s">
        <v>237</v>
      </c>
      <c r="E4" t="s">
        <v>263</v>
      </c>
      <c r="G4" t="s">
        <v>236</v>
      </c>
      <c r="I4" t="s">
        <v>264</v>
      </c>
    </row>
    <row r="5" spans="1:13" x14ac:dyDescent="0.25">
      <c r="A5" s="16" t="s">
        <v>266</v>
      </c>
      <c r="B5" t="s">
        <v>265</v>
      </c>
      <c r="G5" t="s">
        <v>268</v>
      </c>
      <c r="I5" t="s">
        <v>337</v>
      </c>
      <c r="J5" t="s">
        <v>268</v>
      </c>
      <c r="K5" t="s">
        <v>269</v>
      </c>
    </row>
    <row r="6" spans="1:13" x14ac:dyDescent="0.25">
      <c r="A6" s="16" t="s">
        <v>267</v>
      </c>
      <c r="B6" t="s">
        <v>235</v>
      </c>
      <c r="E6" t="s">
        <v>270</v>
      </c>
      <c r="G6" t="s">
        <v>268</v>
      </c>
      <c r="I6" t="s">
        <v>337</v>
      </c>
      <c r="J6" t="s">
        <v>268</v>
      </c>
    </row>
    <row r="7" spans="1:13" x14ac:dyDescent="0.25">
      <c r="A7" t="s">
        <v>271</v>
      </c>
      <c r="B7" t="s">
        <v>260</v>
      </c>
      <c r="E7" t="s">
        <v>304</v>
      </c>
      <c r="G7" t="s">
        <v>236</v>
      </c>
      <c r="I7" t="s">
        <v>337</v>
      </c>
      <c r="J7" t="s">
        <v>236</v>
      </c>
    </row>
    <row r="8" spans="1:13" x14ac:dyDescent="0.25">
      <c r="A8" t="s">
        <v>272</v>
      </c>
      <c r="B8" s="15" t="s">
        <v>305</v>
      </c>
      <c r="C8" s="15"/>
      <c r="D8" s="15"/>
      <c r="E8" s="15" t="s">
        <v>246</v>
      </c>
      <c r="F8" s="15"/>
      <c r="G8" t="s">
        <v>236</v>
      </c>
      <c r="H8" s="15"/>
      <c r="I8" s="15" t="s">
        <v>331</v>
      </c>
      <c r="J8" s="15" t="s">
        <v>236</v>
      </c>
      <c r="K8" s="14" t="s">
        <v>312</v>
      </c>
    </row>
    <row r="9" spans="1:13" x14ac:dyDescent="0.25">
      <c r="A9" t="s">
        <v>273</v>
      </c>
      <c r="B9" s="15" t="s">
        <v>306</v>
      </c>
      <c r="C9" s="15"/>
      <c r="D9" s="15"/>
      <c r="E9" s="15" t="s">
        <v>246</v>
      </c>
      <c r="F9" s="15"/>
      <c r="G9" t="s">
        <v>236</v>
      </c>
      <c r="H9" s="15"/>
      <c r="I9" s="15" t="s">
        <v>331</v>
      </c>
      <c r="J9" s="15" t="s">
        <v>236</v>
      </c>
      <c r="K9" s="14" t="s">
        <v>312</v>
      </c>
    </row>
    <row r="10" spans="1:13" x14ac:dyDescent="0.25">
      <c r="A10" t="s">
        <v>274</v>
      </c>
      <c r="B10" s="15" t="s">
        <v>307</v>
      </c>
      <c r="C10" s="15"/>
      <c r="D10" s="15"/>
      <c r="E10" s="15" t="s">
        <v>246</v>
      </c>
      <c r="F10" s="15"/>
      <c r="G10" t="s">
        <v>236</v>
      </c>
      <c r="H10" s="15"/>
      <c r="I10" s="15" t="s">
        <v>331</v>
      </c>
      <c r="J10" s="15" t="s">
        <v>236</v>
      </c>
      <c r="K10" s="14" t="s">
        <v>312</v>
      </c>
    </row>
    <row r="11" spans="1:13" x14ac:dyDescent="0.25">
      <c r="A11" t="s">
        <v>275</v>
      </c>
      <c r="B11" s="15" t="s">
        <v>308</v>
      </c>
      <c r="C11" s="15"/>
      <c r="D11" s="15"/>
      <c r="E11" s="15" t="s">
        <v>246</v>
      </c>
      <c r="F11" s="15"/>
      <c r="G11" t="s">
        <v>236</v>
      </c>
      <c r="H11" s="15"/>
      <c r="I11" s="15" t="s">
        <v>331</v>
      </c>
      <c r="J11" s="15" t="s">
        <v>236</v>
      </c>
      <c r="K11" s="14" t="s">
        <v>312</v>
      </c>
    </row>
    <row r="12" spans="1:13" x14ac:dyDescent="0.25">
      <c r="A12" t="s">
        <v>276</v>
      </c>
      <c r="B12" s="15" t="s">
        <v>309</v>
      </c>
      <c r="C12" s="15"/>
      <c r="D12" s="15"/>
      <c r="E12" s="15" t="s">
        <v>246</v>
      </c>
      <c r="F12" s="15"/>
      <c r="G12" t="s">
        <v>236</v>
      </c>
      <c r="H12" s="15"/>
      <c r="I12" s="15" t="s">
        <v>331</v>
      </c>
      <c r="J12" s="15" t="s">
        <v>236</v>
      </c>
      <c r="K12" s="14" t="s">
        <v>312</v>
      </c>
    </row>
    <row r="13" spans="1:13" x14ac:dyDescent="0.25">
      <c r="A13" t="s">
        <v>277</v>
      </c>
      <c r="B13" s="15" t="s">
        <v>310</v>
      </c>
      <c r="C13" s="15"/>
      <c r="D13" s="15"/>
      <c r="E13" s="15" t="s">
        <v>246</v>
      </c>
      <c r="F13" s="15"/>
      <c r="G13" t="s">
        <v>236</v>
      </c>
      <c r="H13" s="15"/>
      <c r="I13" s="15" t="s">
        <v>331</v>
      </c>
      <c r="J13" s="15" t="s">
        <v>236</v>
      </c>
      <c r="K13" s="14" t="s">
        <v>312</v>
      </c>
    </row>
    <row r="14" spans="1:13" x14ac:dyDescent="0.25">
      <c r="A14" t="s">
        <v>278</v>
      </c>
      <c r="B14" s="15" t="s">
        <v>311</v>
      </c>
      <c r="C14" s="15"/>
      <c r="D14" s="15"/>
      <c r="E14" s="15" t="s">
        <v>246</v>
      </c>
      <c r="F14" s="15"/>
      <c r="G14" t="s">
        <v>236</v>
      </c>
      <c r="H14" s="15"/>
      <c r="I14" s="15" t="s">
        <v>331</v>
      </c>
      <c r="J14" s="15" t="s">
        <v>236</v>
      </c>
      <c r="K14" s="14" t="s">
        <v>312</v>
      </c>
    </row>
    <row r="15" spans="1:13" x14ac:dyDescent="0.25">
      <c r="A15" t="s">
        <v>279</v>
      </c>
      <c r="B15" s="15" t="s">
        <v>313</v>
      </c>
      <c r="C15" s="15"/>
      <c r="D15" s="15"/>
      <c r="E15" s="15" t="s">
        <v>314</v>
      </c>
      <c r="F15" s="15"/>
      <c r="G15" s="15" t="s">
        <v>236</v>
      </c>
      <c r="H15" s="15"/>
      <c r="I15" s="15" t="s">
        <v>337</v>
      </c>
      <c r="J15" s="15" t="s">
        <v>236</v>
      </c>
      <c r="K15" s="14"/>
    </row>
    <row r="16" spans="1:13" x14ac:dyDescent="0.25">
      <c r="A16" t="s">
        <v>280</v>
      </c>
      <c r="B16" s="15" t="s">
        <v>315</v>
      </c>
      <c r="C16" s="15"/>
      <c r="D16" s="15"/>
      <c r="E16" s="15" t="s">
        <v>261</v>
      </c>
      <c r="F16" s="15"/>
      <c r="G16" s="15" t="s">
        <v>236</v>
      </c>
      <c r="H16" s="15"/>
      <c r="I16" s="15" t="s">
        <v>337</v>
      </c>
      <c r="J16" s="15" t="s">
        <v>236</v>
      </c>
      <c r="K16" s="14"/>
    </row>
    <row r="17" spans="1:11" x14ac:dyDescent="0.25">
      <c r="A17" t="s">
        <v>281</v>
      </c>
      <c r="B17" s="15" t="s">
        <v>89</v>
      </c>
      <c r="C17" s="15"/>
      <c r="D17" s="15"/>
      <c r="E17" s="15"/>
      <c r="F17" s="15"/>
      <c r="G17" s="15" t="s">
        <v>236</v>
      </c>
      <c r="H17" s="15"/>
      <c r="I17" s="15" t="s">
        <v>337</v>
      </c>
      <c r="J17" s="15" t="s">
        <v>236</v>
      </c>
      <c r="K17" s="14"/>
    </row>
    <row r="18" spans="1:11" x14ac:dyDescent="0.25">
      <c r="A18" t="s">
        <v>282</v>
      </c>
      <c r="B18" s="15" t="s">
        <v>316</v>
      </c>
      <c r="C18" s="15"/>
      <c r="D18" s="15"/>
      <c r="E18" s="15" t="s">
        <v>246</v>
      </c>
      <c r="F18" s="15"/>
      <c r="G18" s="15" t="s">
        <v>268</v>
      </c>
      <c r="H18" s="15"/>
      <c r="I18" s="15" t="s">
        <v>318</v>
      </c>
      <c r="J18" s="15" t="s">
        <v>268</v>
      </c>
      <c r="K18" s="14"/>
    </row>
    <row r="19" spans="1:11" x14ac:dyDescent="0.25">
      <c r="A19" t="s">
        <v>283</v>
      </c>
      <c r="B19" s="15" t="s">
        <v>317</v>
      </c>
      <c r="C19" s="15"/>
      <c r="D19" s="15"/>
      <c r="E19" s="15"/>
      <c r="F19" s="15"/>
      <c r="G19" s="15" t="s">
        <v>236</v>
      </c>
      <c r="H19" s="15"/>
      <c r="I19" s="15" t="s">
        <v>318</v>
      </c>
      <c r="J19" s="15" t="s">
        <v>236</v>
      </c>
      <c r="K19" s="14"/>
    </row>
    <row r="20" spans="1:11" x14ac:dyDescent="0.25">
      <c r="A20" t="s">
        <v>284</v>
      </c>
      <c r="B20" s="15" t="s">
        <v>319</v>
      </c>
      <c r="C20" s="15"/>
      <c r="D20" s="15"/>
      <c r="E20" s="15" t="s">
        <v>238</v>
      </c>
      <c r="F20" s="15"/>
      <c r="G20" s="15" t="s">
        <v>236</v>
      </c>
      <c r="H20" s="15"/>
      <c r="I20" s="15" t="s">
        <v>239</v>
      </c>
      <c r="J20" s="15" t="s">
        <v>236</v>
      </c>
      <c r="K20" s="14"/>
    </row>
    <row r="21" spans="1:11" x14ac:dyDescent="0.25">
      <c r="A21" t="s">
        <v>285</v>
      </c>
      <c r="B21" s="15" t="s">
        <v>320</v>
      </c>
      <c r="C21" s="15"/>
      <c r="D21" s="15"/>
      <c r="E21" s="15" t="s">
        <v>246</v>
      </c>
      <c r="F21" s="15"/>
      <c r="G21" s="15" t="s">
        <v>236</v>
      </c>
      <c r="H21" s="15"/>
      <c r="I21" s="15" t="s">
        <v>239</v>
      </c>
      <c r="J21" s="15" t="s">
        <v>236</v>
      </c>
      <c r="K21" s="14"/>
    </row>
    <row r="22" spans="1:11" x14ac:dyDescent="0.25">
      <c r="A22" t="s">
        <v>286</v>
      </c>
      <c r="B22" s="15" t="s">
        <v>319</v>
      </c>
      <c r="C22" s="15"/>
      <c r="D22" s="15"/>
      <c r="E22" s="15" t="s">
        <v>238</v>
      </c>
      <c r="F22" s="15"/>
      <c r="G22" s="15" t="s">
        <v>236</v>
      </c>
      <c r="H22" s="15"/>
      <c r="I22" s="15" t="s">
        <v>239</v>
      </c>
      <c r="J22" s="15" t="s">
        <v>236</v>
      </c>
      <c r="K22" s="14"/>
    </row>
    <row r="23" spans="1:11" x14ac:dyDescent="0.25">
      <c r="A23" t="s">
        <v>287</v>
      </c>
      <c r="B23" s="15" t="s">
        <v>321</v>
      </c>
      <c r="C23" s="15"/>
      <c r="D23" s="15"/>
      <c r="E23" s="15" t="s">
        <v>261</v>
      </c>
      <c r="F23" s="15"/>
      <c r="G23" s="15" t="s">
        <v>236</v>
      </c>
      <c r="H23" s="15"/>
      <c r="I23" s="15" t="s">
        <v>239</v>
      </c>
      <c r="J23" s="15" t="s">
        <v>236</v>
      </c>
      <c r="K23" s="14"/>
    </row>
    <row r="24" spans="1:11" x14ac:dyDescent="0.25">
      <c r="A24" t="s">
        <v>288</v>
      </c>
      <c r="B24" s="15" t="s">
        <v>322</v>
      </c>
      <c r="C24" s="15"/>
      <c r="D24" s="15"/>
      <c r="E24" s="15" t="s">
        <v>261</v>
      </c>
      <c r="F24" s="15"/>
      <c r="G24" s="15" t="s">
        <v>236</v>
      </c>
      <c r="H24" s="15"/>
      <c r="I24" s="15" t="s">
        <v>239</v>
      </c>
      <c r="J24" s="15" t="s">
        <v>236</v>
      </c>
      <c r="K24" s="14"/>
    </row>
    <row r="25" spans="1:11" x14ac:dyDescent="0.25">
      <c r="A25" t="s">
        <v>289</v>
      </c>
      <c r="B25" s="15" t="s">
        <v>237</v>
      </c>
      <c r="C25" s="15"/>
      <c r="D25" s="15"/>
      <c r="E25" t="s">
        <v>263</v>
      </c>
      <c r="G25" t="s">
        <v>236</v>
      </c>
      <c r="I25" t="s">
        <v>264</v>
      </c>
      <c r="J25" s="15" t="s">
        <v>236</v>
      </c>
    </row>
    <row r="26" spans="1:11" x14ac:dyDescent="0.25">
      <c r="A26" t="s">
        <v>290</v>
      </c>
      <c r="B26" s="15" t="s">
        <v>237</v>
      </c>
      <c r="C26" s="15"/>
      <c r="D26" s="15"/>
      <c r="E26" t="s">
        <v>263</v>
      </c>
      <c r="G26" t="s">
        <v>236</v>
      </c>
      <c r="I26" t="s">
        <v>264</v>
      </c>
      <c r="J26" s="15" t="s">
        <v>236</v>
      </c>
    </row>
    <row r="27" spans="1:11" x14ac:dyDescent="0.25">
      <c r="A27" t="s">
        <v>291</v>
      </c>
      <c r="B27" s="15" t="s">
        <v>237</v>
      </c>
      <c r="C27" s="15"/>
      <c r="D27" s="15"/>
      <c r="E27" t="s">
        <v>263</v>
      </c>
      <c r="G27" t="s">
        <v>236</v>
      </c>
      <c r="I27" t="s">
        <v>264</v>
      </c>
      <c r="J27" s="15" t="s">
        <v>236</v>
      </c>
    </row>
    <row r="28" spans="1:11" x14ac:dyDescent="0.25">
      <c r="A28" t="s">
        <v>292</v>
      </c>
      <c r="B28" s="15" t="s">
        <v>323</v>
      </c>
      <c r="C28" s="15"/>
      <c r="D28" s="15"/>
      <c r="E28" s="15" t="s">
        <v>246</v>
      </c>
      <c r="F28" s="15"/>
      <c r="G28" s="15" t="s">
        <v>236</v>
      </c>
      <c r="H28" s="15"/>
      <c r="I28" s="15"/>
      <c r="J28" s="15" t="s">
        <v>236</v>
      </c>
      <c r="K28" s="14"/>
    </row>
    <row r="29" spans="1:11" x14ac:dyDescent="0.25">
      <c r="A29" t="s">
        <v>293</v>
      </c>
      <c r="B29" s="15" t="s">
        <v>324</v>
      </c>
      <c r="C29" s="15"/>
      <c r="D29" s="15"/>
      <c r="E29" s="15" t="s">
        <v>246</v>
      </c>
      <c r="F29" s="15"/>
      <c r="G29" s="15" t="s">
        <v>236</v>
      </c>
      <c r="H29" s="15"/>
      <c r="I29" s="15" t="s">
        <v>331</v>
      </c>
      <c r="J29" s="15" t="s">
        <v>236</v>
      </c>
      <c r="K29" s="14"/>
    </row>
    <row r="30" spans="1:11" x14ac:dyDescent="0.25">
      <c r="A30" t="s">
        <v>294</v>
      </c>
      <c r="B30" s="15" t="s">
        <v>325</v>
      </c>
      <c r="C30" s="15"/>
      <c r="D30" s="15"/>
      <c r="E30" s="15" t="s">
        <v>246</v>
      </c>
      <c r="F30" s="15"/>
      <c r="G30" s="15" t="s">
        <v>236</v>
      </c>
      <c r="H30" s="15"/>
      <c r="I30" s="15" t="s">
        <v>331</v>
      </c>
      <c r="J30" s="15" t="s">
        <v>236</v>
      </c>
      <c r="K30" s="14"/>
    </row>
    <row r="31" spans="1:11" x14ac:dyDescent="0.25">
      <c r="A31" t="s">
        <v>295</v>
      </c>
      <c r="B31" s="15" t="s">
        <v>326</v>
      </c>
      <c r="C31" s="15"/>
      <c r="D31" s="15"/>
      <c r="E31" s="15" t="s">
        <v>246</v>
      </c>
      <c r="F31" s="15"/>
      <c r="G31" s="15" t="s">
        <v>236</v>
      </c>
      <c r="H31" s="15"/>
      <c r="I31" s="15" t="s">
        <v>331</v>
      </c>
      <c r="J31" s="15" t="s">
        <v>236</v>
      </c>
      <c r="K31" s="14"/>
    </row>
    <row r="32" spans="1:11" x14ac:dyDescent="0.25">
      <c r="A32" t="s">
        <v>296</v>
      </c>
      <c r="B32" s="15" t="s">
        <v>327</v>
      </c>
      <c r="C32" s="15"/>
      <c r="D32" s="15"/>
      <c r="E32" s="15" t="s">
        <v>246</v>
      </c>
      <c r="F32" s="15"/>
      <c r="G32" s="15" t="s">
        <v>236</v>
      </c>
      <c r="H32" s="15"/>
      <c r="I32" s="15" t="s">
        <v>331</v>
      </c>
      <c r="J32" s="15" t="s">
        <v>236</v>
      </c>
      <c r="K32" s="14"/>
    </row>
    <row r="33" spans="1:11" x14ac:dyDescent="0.25">
      <c r="A33" t="s">
        <v>297</v>
      </c>
      <c r="B33" s="15" t="s">
        <v>328</v>
      </c>
      <c r="C33" s="15"/>
      <c r="D33" s="15"/>
      <c r="E33" s="15" t="s">
        <v>246</v>
      </c>
      <c r="F33" s="15"/>
      <c r="G33" s="15" t="s">
        <v>236</v>
      </c>
      <c r="H33" s="15"/>
      <c r="I33" s="15" t="s">
        <v>331</v>
      </c>
      <c r="J33" s="15" t="s">
        <v>236</v>
      </c>
      <c r="K33" s="14"/>
    </row>
    <row r="34" spans="1:11" x14ac:dyDescent="0.25">
      <c r="A34" t="s">
        <v>298</v>
      </c>
      <c r="B34" s="15" t="s">
        <v>329</v>
      </c>
      <c r="C34" s="15"/>
      <c r="D34" s="15"/>
      <c r="E34" s="15" t="s">
        <v>246</v>
      </c>
      <c r="F34" s="15"/>
      <c r="G34" s="15" t="s">
        <v>236</v>
      </c>
      <c r="H34" s="15"/>
      <c r="I34" s="15" t="s">
        <v>331</v>
      </c>
      <c r="J34" s="15" t="s">
        <v>236</v>
      </c>
      <c r="K34" s="14"/>
    </row>
    <row r="35" spans="1:11" x14ac:dyDescent="0.25">
      <c r="A35" t="s">
        <v>299</v>
      </c>
      <c r="B35" s="15" t="s">
        <v>329</v>
      </c>
      <c r="C35" s="15"/>
      <c r="D35" s="15"/>
      <c r="E35" s="15" t="s">
        <v>246</v>
      </c>
      <c r="F35" s="15"/>
      <c r="G35" s="15" t="s">
        <v>236</v>
      </c>
      <c r="H35" s="15"/>
      <c r="I35" s="15" t="s">
        <v>331</v>
      </c>
      <c r="J35" s="15" t="s">
        <v>236</v>
      </c>
      <c r="K35" s="14"/>
    </row>
    <row r="36" spans="1:11" x14ac:dyDescent="0.25">
      <c r="A36" t="s">
        <v>300</v>
      </c>
      <c r="B36" s="15" t="s">
        <v>329</v>
      </c>
      <c r="C36" s="15"/>
      <c r="D36" s="15"/>
      <c r="E36" s="15" t="s">
        <v>246</v>
      </c>
      <c r="F36" s="15"/>
      <c r="G36" s="15" t="s">
        <v>236</v>
      </c>
      <c r="H36" s="15"/>
      <c r="I36" s="15" t="s">
        <v>331</v>
      </c>
      <c r="J36" s="15" t="s">
        <v>236</v>
      </c>
      <c r="K36" s="14"/>
    </row>
    <row r="37" spans="1:11" x14ac:dyDescent="0.25">
      <c r="A37" t="s">
        <v>301</v>
      </c>
      <c r="B37" s="15" t="s">
        <v>329</v>
      </c>
      <c r="C37" s="15"/>
      <c r="D37" s="15"/>
      <c r="E37" s="15" t="s">
        <v>246</v>
      </c>
      <c r="F37" s="15"/>
      <c r="G37" s="15" t="s">
        <v>236</v>
      </c>
      <c r="H37" s="15"/>
      <c r="I37" s="15" t="s">
        <v>331</v>
      </c>
      <c r="J37" s="15" t="s">
        <v>236</v>
      </c>
      <c r="K37" s="14"/>
    </row>
    <row r="38" spans="1:11" x14ac:dyDescent="0.25">
      <c r="A38" t="s">
        <v>302</v>
      </c>
      <c r="B38" s="15" t="s">
        <v>330</v>
      </c>
      <c r="C38" s="15"/>
      <c r="D38" s="15"/>
      <c r="E38" s="15" t="s">
        <v>261</v>
      </c>
      <c r="F38" s="15"/>
      <c r="G38" s="15" t="s">
        <v>236</v>
      </c>
      <c r="H38" s="15"/>
      <c r="I38" s="15" t="s">
        <v>318</v>
      </c>
      <c r="J38" s="15" t="s">
        <v>236</v>
      </c>
      <c r="K38" s="14"/>
    </row>
    <row r="39" spans="1:11" x14ac:dyDescent="0.25">
      <c r="A39" t="s">
        <v>303</v>
      </c>
      <c r="B39" s="15" t="s">
        <v>329</v>
      </c>
      <c r="C39" s="15"/>
      <c r="D39" s="15"/>
      <c r="E39" s="15" t="s">
        <v>246</v>
      </c>
      <c r="F39" s="15"/>
      <c r="G39" s="15" t="s">
        <v>236</v>
      </c>
      <c r="H39" s="15"/>
      <c r="I39" s="15" t="s">
        <v>331</v>
      </c>
      <c r="J39" s="15" t="s">
        <v>236</v>
      </c>
      <c r="K39" s="14"/>
    </row>
    <row r="40" spans="1:11" x14ac:dyDescent="0.25">
      <c r="A40" t="s">
        <v>332</v>
      </c>
      <c r="B40" s="15" t="s">
        <v>333</v>
      </c>
      <c r="C40" s="15"/>
      <c r="D40" s="15"/>
      <c r="E40" s="15" t="s">
        <v>334</v>
      </c>
      <c r="F40" s="15"/>
      <c r="G40" s="15" t="s">
        <v>236</v>
      </c>
      <c r="H40" s="15"/>
      <c r="I40" s="15" t="s">
        <v>337</v>
      </c>
      <c r="J40" s="15" t="s">
        <v>236</v>
      </c>
      <c r="K40" s="14"/>
    </row>
    <row r="41" spans="1:11" x14ac:dyDescent="0.25">
      <c r="A41" s="15" t="s">
        <v>335</v>
      </c>
      <c r="B41" s="15" t="s">
        <v>336</v>
      </c>
      <c r="C41" s="15"/>
      <c r="D41" s="15"/>
      <c r="E41" s="15" t="s">
        <v>246</v>
      </c>
      <c r="F41" s="15"/>
      <c r="G41" s="15" t="s">
        <v>268</v>
      </c>
      <c r="H41" s="15"/>
      <c r="I41" s="15" t="s">
        <v>337</v>
      </c>
      <c r="J41" s="15" t="s">
        <v>268</v>
      </c>
      <c r="K41" s="14"/>
    </row>
    <row r="42" spans="1:1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4"/>
    </row>
    <row r="43" spans="1:1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4"/>
    </row>
    <row r="44" spans="1:1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4"/>
    </row>
    <row r="45" spans="1:1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4"/>
    </row>
    <row r="46" spans="1:1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4"/>
    </row>
    <row r="47" spans="1:1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4"/>
    </row>
    <row r="48" spans="1:11" ht="15.75" thickBot="1" x14ac:dyDescent="0.3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4"/>
    </row>
    <row r="49" spans="1:4" ht="16.5" thickTop="1" thickBot="1" x14ac:dyDescent="0.3">
      <c r="A49" s="4" t="s">
        <v>231</v>
      </c>
      <c r="B49" s="5" t="s">
        <v>232</v>
      </c>
    </row>
    <row r="50" spans="1:4" ht="16.5" thickTop="1" thickBot="1" x14ac:dyDescent="0.3">
      <c r="A50" s="4" t="s">
        <v>233</v>
      </c>
      <c r="D50" s="5" t="s">
        <v>234</v>
      </c>
    </row>
    <row r="51" spans="1:4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FB2E-99D6-4365-9ECD-600ECF482C5D}">
  <sheetPr codeName="Sheet2"/>
  <dimension ref="A1:V129"/>
  <sheetViews>
    <sheetView workbookViewId="0">
      <selection activeCell="V1" sqref="V1:V2"/>
    </sheetView>
  </sheetViews>
  <sheetFormatPr defaultRowHeight="15" x14ac:dyDescent="0.25"/>
  <cols>
    <col min="2" max="2" width="20.7109375" customWidth="1"/>
    <col min="4" max="4" width="12.5703125" customWidth="1"/>
    <col min="5" max="5" width="11.42578125" customWidth="1"/>
    <col min="6" max="6" width="17.140625" customWidth="1"/>
    <col min="13" max="13" width="17.42578125" customWidth="1"/>
    <col min="14" max="14" width="13.28515625" customWidth="1"/>
    <col min="18" max="18" width="11.5703125" customWidth="1"/>
    <col min="19" max="19" width="10.7109375" customWidth="1"/>
  </cols>
  <sheetData>
    <row r="1" spans="1:22" x14ac:dyDescent="0.25">
      <c r="A1" s="3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  <c r="K1" s="1" t="s">
        <v>58</v>
      </c>
      <c r="L1" s="7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1" t="s">
        <v>68</v>
      </c>
      <c r="V1" s="1" t="s">
        <v>69</v>
      </c>
    </row>
    <row r="2" spans="1:22" x14ac:dyDescent="0.25">
      <c r="D2" t="s">
        <v>70</v>
      </c>
      <c r="E2" t="s">
        <v>71</v>
      </c>
      <c r="F2" t="s">
        <v>72</v>
      </c>
      <c r="G2" t="s">
        <v>72</v>
      </c>
      <c r="H2" t="s">
        <v>73</v>
      </c>
      <c r="I2" t="s">
        <v>74</v>
      </c>
      <c r="J2" t="s">
        <v>72</v>
      </c>
      <c r="K2" t="s">
        <v>75</v>
      </c>
      <c r="L2" t="s">
        <v>76</v>
      </c>
      <c r="M2" t="s">
        <v>72</v>
      </c>
      <c r="N2" t="s">
        <v>72</v>
      </c>
      <c r="O2" t="s">
        <v>72</v>
      </c>
      <c r="P2" t="s">
        <v>72</v>
      </c>
      <c r="Q2" t="s">
        <v>77</v>
      </c>
      <c r="R2" t="s">
        <v>72</v>
      </c>
      <c r="S2" t="s">
        <v>78</v>
      </c>
      <c r="T2" t="s">
        <v>79</v>
      </c>
      <c r="U2" t="s">
        <v>80</v>
      </c>
      <c r="V2" t="s">
        <v>80</v>
      </c>
    </row>
    <row r="3" spans="1:22" x14ac:dyDescent="0.25">
      <c r="A3" s="8" t="s">
        <v>6</v>
      </c>
      <c r="D3" t="s">
        <v>81</v>
      </c>
      <c r="E3" t="s">
        <v>82</v>
      </c>
      <c r="F3" t="s">
        <v>78</v>
      </c>
      <c r="G3" t="s">
        <v>81</v>
      </c>
      <c r="H3" t="s">
        <v>83</v>
      </c>
      <c r="I3" t="s">
        <v>84</v>
      </c>
      <c r="J3" t="s">
        <v>85</v>
      </c>
      <c r="K3" t="s">
        <v>81</v>
      </c>
      <c r="L3" t="s">
        <v>86</v>
      </c>
      <c r="M3" t="s">
        <v>87</v>
      </c>
      <c r="N3" t="s">
        <v>78</v>
      </c>
      <c r="O3" t="s">
        <v>75</v>
      </c>
      <c r="P3" t="s">
        <v>70</v>
      </c>
      <c r="Q3" t="s">
        <v>88</v>
      </c>
      <c r="R3" t="s">
        <v>78</v>
      </c>
      <c r="S3" t="s">
        <v>89</v>
      </c>
      <c r="T3" t="s">
        <v>88</v>
      </c>
    </row>
    <row r="4" spans="1:22" x14ac:dyDescent="0.25">
      <c r="A4" s="8" t="s">
        <v>90</v>
      </c>
      <c r="E4" t="s">
        <v>91</v>
      </c>
      <c r="F4" t="s">
        <v>70</v>
      </c>
      <c r="G4" t="s">
        <v>92</v>
      </c>
      <c r="H4" t="s">
        <v>93</v>
      </c>
      <c r="I4" t="s">
        <v>94</v>
      </c>
      <c r="J4" t="s">
        <v>95</v>
      </c>
      <c r="L4" t="s">
        <v>96</v>
      </c>
      <c r="M4" t="s">
        <v>78</v>
      </c>
      <c r="N4" t="s">
        <v>97</v>
      </c>
      <c r="O4" t="s">
        <v>81</v>
      </c>
      <c r="P4" t="s">
        <v>75</v>
      </c>
      <c r="Q4" t="s">
        <v>98</v>
      </c>
      <c r="R4" t="s">
        <v>97</v>
      </c>
      <c r="S4" t="s">
        <v>99</v>
      </c>
      <c r="T4" t="s">
        <v>100</v>
      </c>
    </row>
    <row r="5" spans="1:22" x14ac:dyDescent="0.25">
      <c r="A5" s="8" t="s">
        <v>101</v>
      </c>
      <c r="E5" t="s">
        <v>81</v>
      </c>
      <c r="F5" t="s">
        <v>102</v>
      </c>
      <c r="I5" t="s">
        <v>103</v>
      </c>
      <c r="J5" t="s">
        <v>78</v>
      </c>
      <c r="L5" t="s">
        <v>104</v>
      </c>
      <c r="M5" t="s">
        <v>97</v>
      </c>
      <c r="N5" t="s">
        <v>99</v>
      </c>
      <c r="P5" t="s">
        <v>81</v>
      </c>
      <c r="Q5" t="s">
        <v>105</v>
      </c>
      <c r="R5" t="s">
        <v>106</v>
      </c>
      <c r="S5" t="s">
        <v>102</v>
      </c>
      <c r="T5" t="s">
        <v>107</v>
      </c>
    </row>
    <row r="6" spans="1:22" x14ac:dyDescent="0.25">
      <c r="A6" s="8" t="s">
        <v>108</v>
      </c>
      <c r="F6" t="s">
        <v>109</v>
      </c>
      <c r="I6" t="s">
        <v>110</v>
      </c>
      <c r="J6" t="s">
        <v>111</v>
      </c>
      <c r="L6" t="s">
        <v>112</v>
      </c>
      <c r="M6" t="s">
        <v>106</v>
      </c>
      <c r="N6" t="s">
        <v>105</v>
      </c>
      <c r="Q6" t="s">
        <v>113</v>
      </c>
      <c r="R6" t="s">
        <v>102</v>
      </c>
      <c r="S6" t="s">
        <v>114</v>
      </c>
    </row>
    <row r="7" spans="1:22" x14ac:dyDescent="0.25">
      <c r="A7" s="8" t="s">
        <v>115</v>
      </c>
      <c r="F7" t="s">
        <v>111</v>
      </c>
      <c r="J7" t="s">
        <v>116</v>
      </c>
      <c r="M7" t="s">
        <v>117</v>
      </c>
      <c r="N7" t="s">
        <v>117</v>
      </c>
      <c r="Q7" t="s">
        <v>118</v>
      </c>
      <c r="R7" t="s">
        <v>109</v>
      </c>
    </row>
    <row r="8" spans="1:22" x14ac:dyDescent="0.25">
      <c r="A8" s="8" t="s">
        <v>119</v>
      </c>
      <c r="J8" t="s">
        <v>120</v>
      </c>
      <c r="M8" t="s">
        <v>121</v>
      </c>
      <c r="N8" t="s">
        <v>120</v>
      </c>
      <c r="Q8" t="s">
        <v>122</v>
      </c>
      <c r="R8" t="s">
        <v>81</v>
      </c>
    </row>
    <row r="9" spans="1:22" x14ac:dyDescent="0.25">
      <c r="A9" s="8" t="s">
        <v>123</v>
      </c>
      <c r="J9" t="s">
        <v>121</v>
      </c>
      <c r="M9" t="s">
        <v>102</v>
      </c>
      <c r="N9" t="s">
        <v>124</v>
      </c>
      <c r="Q9" t="s">
        <v>125</v>
      </c>
    </row>
    <row r="10" spans="1:22" x14ac:dyDescent="0.25">
      <c r="A10" s="8" t="s">
        <v>126</v>
      </c>
      <c r="J10" t="s">
        <v>70</v>
      </c>
      <c r="M10" t="s">
        <v>70</v>
      </c>
      <c r="N10" t="s">
        <v>102</v>
      </c>
      <c r="Q10" t="s">
        <v>127</v>
      </c>
    </row>
    <row r="11" spans="1:22" x14ac:dyDescent="0.25">
      <c r="A11" s="8" t="s">
        <v>128</v>
      </c>
      <c r="J11" t="s">
        <v>129</v>
      </c>
      <c r="M11" t="s">
        <v>75</v>
      </c>
      <c r="N11" t="s">
        <v>70</v>
      </c>
      <c r="Q11" t="s">
        <v>130</v>
      </c>
    </row>
    <row r="12" spans="1:22" x14ac:dyDescent="0.25">
      <c r="A12" s="8" t="s">
        <v>131</v>
      </c>
      <c r="J12" t="s">
        <v>102</v>
      </c>
      <c r="M12" t="s">
        <v>132</v>
      </c>
      <c r="N12" t="s">
        <v>75</v>
      </c>
      <c r="Q12" t="s">
        <v>133</v>
      </c>
    </row>
    <row r="13" spans="1:22" x14ac:dyDescent="0.25">
      <c r="A13" s="8" t="s">
        <v>134</v>
      </c>
      <c r="J13" t="s">
        <v>99</v>
      </c>
      <c r="M13" t="s">
        <v>81</v>
      </c>
      <c r="Q13" t="s">
        <v>135</v>
      </c>
    </row>
    <row r="14" spans="1:22" x14ac:dyDescent="0.25">
      <c r="A14" s="8" t="s">
        <v>136</v>
      </c>
      <c r="J14" t="s">
        <v>124</v>
      </c>
      <c r="M14" t="s">
        <v>124</v>
      </c>
      <c r="Q14" t="s">
        <v>137</v>
      </c>
    </row>
    <row r="15" spans="1:22" x14ac:dyDescent="0.25">
      <c r="A15" s="8" t="s">
        <v>138</v>
      </c>
      <c r="J15" t="s">
        <v>139</v>
      </c>
      <c r="M15" t="s">
        <v>129</v>
      </c>
      <c r="Q15" t="s">
        <v>140</v>
      </c>
    </row>
    <row r="16" spans="1:22" x14ac:dyDescent="0.25">
      <c r="A16" s="8" t="s">
        <v>141</v>
      </c>
      <c r="Q16" t="s">
        <v>142</v>
      </c>
    </row>
    <row r="17" spans="1:17" x14ac:dyDescent="0.25">
      <c r="A17" s="8" t="s">
        <v>59</v>
      </c>
      <c r="Q17" t="s">
        <v>143</v>
      </c>
    </row>
    <row r="18" spans="1:17" x14ac:dyDescent="0.25">
      <c r="A18" s="8" t="s">
        <v>144</v>
      </c>
      <c r="Q18" t="s">
        <v>145</v>
      </c>
    </row>
    <row r="19" spans="1:17" x14ac:dyDescent="0.25">
      <c r="A19" s="8" t="s">
        <v>146</v>
      </c>
      <c r="Q19" t="s">
        <v>147</v>
      </c>
    </row>
    <row r="20" spans="1:17" x14ac:dyDescent="0.25">
      <c r="A20" s="8" t="s">
        <v>148</v>
      </c>
      <c r="Q20" t="s">
        <v>149</v>
      </c>
    </row>
    <row r="21" spans="1:17" x14ac:dyDescent="0.25">
      <c r="A21" s="8" t="s">
        <v>150</v>
      </c>
    </row>
    <row r="22" spans="1:17" x14ac:dyDescent="0.25">
      <c r="A22" s="8" t="s">
        <v>151</v>
      </c>
      <c r="I22" t="str">
        <f>TRIM(I7)</f>
        <v/>
      </c>
      <c r="L22" t="str">
        <f>TRIM(L7)</f>
        <v/>
      </c>
    </row>
    <row r="23" spans="1:17" x14ac:dyDescent="0.25">
      <c r="A23" s="8" t="s">
        <v>152</v>
      </c>
    </row>
    <row r="25" spans="1:17" x14ac:dyDescent="0.25">
      <c r="E25" t="str">
        <f>TRIM(D25)</f>
        <v/>
      </c>
    </row>
    <row r="28" spans="1:17" x14ac:dyDescent="0.25">
      <c r="N28" t="str">
        <f>TRIM(N13)</f>
        <v/>
      </c>
    </row>
    <row r="119" spans="4:4" x14ac:dyDescent="0.25">
      <c r="D119" t="s">
        <v>153</v>
      </c>
    </row>
    <row r="120" spans="4:4" x14ac:dyDescent="0.25">
      <c r="D120" t="s">
        <v>154</v>
      </c>
    </row>
    <row r="121" spans="4:4" x14ac:dyDescent="0.25">
      <c r="D121" t="s">
        <v>155</v>
      </c>
    </row>
    <row r="127" spans="4:4" x14ac:dyDescent="0.25">
      <c r="D127" t="s">
        <v>156</v>
      </c>
    </row>
    <row r="128" spans="4:4" x14ac:dyDescent="0.25">
      <c r="D128" t="s">
        <v>157</v>
      </c>
    </row>
    <row r="129" spans="4:4" x14ac:dyDescent="0.25">
      <c r="D129" t="s">
        <v>158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02EA5-3B7D-423D-BB4D-975F03EAEE6F}">
  <sheetPr codeName="Sheet3"/>
  <dimension ref="A1:A51"/>
  <sheetViews>
    <sheetView topLeftCell="A2" workbookViewId="0">
      <selection activeCell="F10" sqref="F10"/>
    </sheetView>
  </sheetViews>
  <sheetFormatPr defaultRowHeight="15" x14ac:dyDescent="0.25"/>
  <sheetData>
    <row r="1" spans="1:1" x14ac:dyDescent="0.25">
      <c r="A1" s="9" t="s">
        <v>243</v>
      </c>
    </row>
    <row r="2" spans="1:1" x14ac:dyDescent="0.25">
      <c r="A2" t="s">
        <v>159</v>
      </c>
    </row>
    <row r="3" spans="1:1" x14ac:dyDescent="0.25">
      <c r="A3" t="s">
        <v>160</v>
      </c>
    </row>
    <row r="4" spans="1:1" x14ac:dyDescent="0.25">
      <c r="A4" t="s">
        <v>161</v>
      </c>
    </row>
    <row r="5" spans="1:1" x14ac:dyDescent="0.25">
      <c r="A5" t="s">
        <v>162</v>
      </c>
    </row>
    <row r="6" spans="1:1" x14ac:dyDescent="0.25">
      <c r="A6" t="s">
        <v>163</v>
      </c>
    </row>
    <row r="7" spans="1:1" x14ac:dyDescent="0.25">
      <c r="A7" t="s">
        <v>164</v>
      </c>
    </row>
    <row r="8" spans="1:1" x14ac:dyDescent="0.25">
      <c r="A8" t="s">
        <v>165</v>
      </c>
    </row>
    <row r="9" spans="1:1" x14ac:dyDescent="0.25">
      <c r="A9" t="s">
        <v>166</v>
      </c>
    </row>
    <row r="10" spans="1:1" x14ac:dyDescent="0.25">
      <c r="A10" t="s">
        <v>167</v>
      </c>
    </row>
    <row r="11" spans="1:1" x14ac:dyDescent="0.25">
      <c r="A11" t="s">
        <v>168</v>
      </c>
    </row>
    <row r="12" spans="1:1" x14ac:dyDescent="0.25">
      <c r="A12" t="s">
        <v>169</v>
      </c>
    </row>
    <row r="13" spans="1:1" x14ac:dyDescent="0.25">
      <c r="A13" t="s">
        <v>170</v>
      </c>
    </row>
    <row r="14" spans="1:1" x14ac:dyDescent="0.25">
      <c r="A14" t="s">
        <v>171</v>
      </c>
    </row>
    <row r="15" spans="1:1" x14ac:dyDescent="0.25">
      <c r="A15" t="s">
        <v>172</v>
      </c>
    </row>
    <row r="16" spans="1:1" x14ac:dyDescent="0.25">
      <c r="A16" t="s">
        <v>173</v>
      </c>
    </row>
    <row r="17" spans="1:1" x14ac:dyDescent="0.25">
      <c r="A17" t="s">
        <v>174</v>
      </c>
    </row>
    <row r="18" spans="1:1" x14ac:dyDescent="0.25">
      <c r="A18" t="s">
        <v>175</v>
      </c>
    </row>
    <row r="19" spans="1:1" x14ac:dyDescent="0.25">
      <c r="A19" t="s">
        <v>176</v>
      </c>
    </row>
    <row r="20" spans="1:1" x14ac:dyDescent="0.25">
      <c r="A20" t="s">
        <v>177</v>
      </c>
    </row>
    <row r="21" spans="1:1" x14ac:dyDescent="0.25">
      <c r="A21" t="s">
        <v>178</v>
      </c>
    </row>
    <row r="22" spans="1:1" x14ac:dyDescent="0.25">
      <c r="A22" t="s">
        <v>179</v>
      </c>
    </row>
    <row r="23" spans="1:1" x14ac:dyDescent="0.25">
      <c r="A23" t="s">
        <v>180</v>
      </c>
    </row>
    <row r="24" spans="1:1" x14ac:dyDescent="0.25">
      <c r="A24" t="s">
        <v>181</v>
      </c>
    </row>
    <row r="25" spans="1:1" x14ac:dyDescent="0.25">
      <c r="A25" t="s">
        <v>182</v>
      </c>
    </row>
    <row r="26" spans="1:1" x14ac:dyDescent="0.25">
      <c r="A26" t="s">
        <v>183</v>
      </c>
    </row>
    <row r="27" spans="1:1" x14ac:dyDescent="0.25">
      <c r="A27" t="s">
        <v>184</v>
      </c>
    </row>
    <row r="28" spans="1:1" x14ac:dyDescent="0.25">
      <c r="A28" t="s">
        <v>185</v>
      </c>
    </row>
    <row r="29" spans="1:1" x14ac:dyDescent="0.25">
      <c r="A29" t="s">
        <v>186</v>
      </c>
    </row>
    <row r="30" spans="1:1" x14ac:dyDescent="0.25">
      <c r="A30" t="s">
        <v>187</v>
      </c>
    </row>
    <row r="31" spans="1:1" x14ac:dyDescent="0.25">
      <c r="A31" t="s">
        <v>188</v>
      </c>
    </row>
    <row r="32" spans="1:1" x14ac:dyDescent="0.25">
      <c r="A32" t="s">
        <v>189</v>
      </c>
    </row>
    <row r="33" spans="1:1" x14ac:dyDescent="0.25">
      <c r="A33" t="s">
        <v>190</v>
      </c>
    </row>
    <row r="34" spans="1:1" x14ac:dyDescent="0.25">
      <c r="A34" t="s">
        <v>191</v>
      </c>
    </row>
    <row r="35" spans="1:1" x14ac:dyDescent="0.25">
      <c r="A35" t="s">
        <v>192</v>
      </c>
    </row>
    <row r="36" spans="1:1" x14ac:dyDescent="0.25">
      <c r="A36" t="s">
        <v>193</v>
      </c>
    </row>
    <row r="37" spans="1:1" x14ac:dyDescent="0.25">
      <c r="A37" t="s">
        <v>194</v>
      </c>
    </row>
    <row r="38" spans="1:1" x14ac:dyDescent="0.25">
      <c r="A38" t="s">
        <v>195</v>
      </c>
    </row>
    <row r="39" spans="1:1" x14ac:dyDescent="0.25">
      <c r="A39" t="s">
        <v>196</v>
      </c>
    </row>
    <row r="40" spans="1:1" x14ac:dyDescent="0.25">
      <c r="A40" t="s">
        <v>197</v>
      </c>
    </row>
    <row r="41" spans="1:1" x14ac:dyDescent="0.25">
      <c r="A41" t="s">
        <v>198</v>
      </c>
    </row>
    <row r="42" spans="1:1" x14ac:dyDescent="0.25">
      <c r="A42" t="s">
        <v>199</v>
      </c>
    </row>
    <row r="43" spans="1:1" x14ac:dyDescent="0.25">
      <c r="A43" t="s">
        <v>200</v>
      </c>
    </row>
    <row r="44" spans="1:1" x14ac:dyDescent="0.25">
      <c r="A44" t="s">
        <v>201</v>
      </c>
    </row>
    <row r="45" spans="1:1" x14ac:dyDescent="0.25">
      <c r="A45" t="s">
        <v>202</v>
      </c>
    </row>
    <row r="46" spans="1:1" x14ac:dyDescent="0.25">
      <c r="A46" t="s">
        <v>203</v>
      </c>
    </row>
    <row r="47" spans="1:1" x14ac:dyDescent="0.25">
      <c r="A47" t="s">
        <v>204</v>
      </c>
    </row>
    <row r="48" spans="1:1" x14ac:dyDescent="0.25">
      <c r="A48" t="s">
        <v>205</v>
      </c>
    </row>
    <row r="49" spans="1:1" x14ac:dyDescent="0.25">
      <c r="A49" t="s">
        <v>206</v>
      </c>
    </row>
    <row r="50" spans="1:1" x14ac:dyDescent="0.25">
      <c r="A50" t="s">
        <v>207</v>
      </c>
    </row>
    <row r="51" spans="1:1" x14ac:dyDescent="0.25">
      <c r="A51" t="s">
        <v>208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Metadata</vt:lpstr>
      <vt:lpstr>Chronology</vt:lpstr>
      <vt:lpstr>Data</vt:lpstr>
      <vt:lpstr>ProxyAndReconstructionInfo</vt:lpstr>
      <vt:lpstr>NOAASciKeywords</vt:lpstr>
      <vt:lpstr>borehole</vt:lpstr>
      <vt:lpstr>climate_forcing</vt:lpstr>
      <vt:lpstr>Climate_reconstructions</vt:lpstr>
      <vt:lpstr>corals_and_sclerosponges</vt:lpstr>
      <vt:lpstr>fauna</vt:lpstr>
      <vt:lpstr>fire_history</vt:lpstr>
      <vt:lpstr>historical</vt:lpstr>
      <vt:lpstr>ice_cores</vt:lpstr>
      <vt:lpstr>insect</vt:lpstr>
      <vt:lpstr>instrumental</vt:lpstr>
      <vt:lpstr>lake_levels</vt:lpstr>
      <vt:lpstr>loess</vt:lpstr>
      <vt:lpstr>paleoceanography</vt:lpstr>
      <vt:lpstr>Paleoclimatic_Modeling</vt:lpstr>
      <vt:lpstr>paleolimnology</vt:lpstr>
      <vt:lpstr>plant_macrofossils</vt:lpstr>
      <vt:lpstr>pollen</vt:lpstr>
      <vt:lpstr>ProxyList2</vt:lpstr>
      <vt:lpstr>speleothems</vt:lpstr>
      <vt:lpstr>tree_ring</vt:lpstr>
    </vt:vector>
  </TitlesOfParts>
  <Company>NESDIS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P. Gille</dc:creator>
  <cp:lastModifiedBy>Maria Jose Rivera</cp:lastModifiedBy>
  <dcterms:created xsi:type="dcterms:W3CDTF">2021-04-12T18:38:43Z</dcterms:created>
  <dcterms:modified xsi:type="dcterms:W3CDTF">2021-10-02T03:18:32Z</dcterms:modified>
</cp:coreProperties>
</file>